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garw\"/>
    </mc:Choice>
  </mc:AlternateContent>
  <xr:revisionPtr revIDLastSave="0" documentId="13_ncr:1_{8B62FED7-C92F-46A1-9479-2CD2A12E56A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DASHBOARD" sheetId="3" r:id="rId2"/>
  </sheets>
  <calcPr calcId="0"/>
</workbook>
</file>

<file path=xl/sharedStrings.xml><?xml version="1.0" encoding="utf-8"?>
<sst xmlns="http://schemas.openxmlformats.org/spreadsheetml/2006/main" count="41" uniqueCount="28">
  <si>
    <t>Segment</t>
  </si>
  <si>
    <t>Customer_Count</t>
  </si>
  <si>
    <t>Avg_Recency</t>
  </si>
  <si>
    <t>Avg_Frequency</t>
  </si>
  <si>
    <t>Avg_Monetary</t>
  </si>
  <si>
    <t>Total_Revenue</t>
  </si>
  <si>
    <t>Revenue_%</t>
  </si>
  <si>
    <t>At Risk</t>
  </si>
  <si>
    <t>Champion</t>
  </si>
  <si>
    <t>Lost</t>
  </si>
  <si>
    <t>Loyal Customer</t>
  </si>
  <si>
    <t>New Customer</t>
  </si>
  <si>
    <t>Potential Loyalist</t>
  </si>
  <si>
    <t>RFM Customer Segmentation Analysis — Online Retail</t>
  </si>
  <si>
    <t>5,878
Total Customers</t>
  </si>
  <si>
    <t>£17.7M
Total Revenue</t>
  </si>
  <si>
    <t>Champion Customers
1,300 (22.1%)</t>
  </si>
  <si>
    <t xml:space="preserve"> At Risk Customers
824 (14%)</t>
  </si>
  <si>
    <t xml:space="preserve">Highlights : Champion customers contribute the highest revenue      </t>
  </si>
  <si>
    <t>Highlights:  Behavioral differences across segments</t>
  </si>
  <si>
    <t>Highlights: Loyal Customers form the largest segment,good customer retention</t>
  </si>
  <si>
    <t>Highlights: Champion customers being fewer in number, major revenue</t>
  </si>
  <si>
    <t xml:space="preserve"> despite being 22% of customers"</t>
  </si>
  <si>
    <t>1. Champions = 68.35% of total revenue</t>
  </si>
  <si>
    <t>2. Loyal Customers are the largest segment at 1,403"</t>
  </si>
  <si>
    <t xml:space="preserve">Lost customers haven't purchased </t>
  </si>
  <si>
    <t>in 467 days on average</t>
  </si>
  <si>
    <t>SUMMARY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</si>
</sst>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Bahnschrift Condensed"/>
      <family val="2"/>
    </font>
    <font>
      <b/>
      <sz val="20"/>
      <color theme="1"/>
      <name val="Bahnschrift Condensed"/>
      <family val="2"/>
    </font>
    <font>
      <b/>
      <sz val="16"/>
      <color theme="7" tint="-0.249977111117893"/>
      <name val="Bahnschrift Condensed"/>
      <family val="2"/>
    </font>
    <font>
      <sz val="16"/>
      <color theme="7" tint="-0.249977111117893"/>
      <name val="Calibri"/>
      <family val="2"/>
      <scheme val="minor"/>
    </font>
    <font>
      <sz val="11"/>
      <color theme="1"/>
      <name val="Bahnschrift Condensed"/>
      <family val="2"/>
    </font>
    <font>
      <sz val="16"/>
      <color theme="1"/>
      <name val="Bahnschrift Condensed"/>
      <family val="2"/>
    </font>
    <font>
      <sz val="12"/>
      <color theme="1"/>
      <name val="Bahnschrift Condensed"/>
      <family val="2"/>
    </font>
    <font>
      <b/>
      <sz val="16"/>
      <color theme="7" tint="-0.249977111117893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0" borderId="0" xfId="0" applyFont="1" applyAlignment="1"/>
    <xf numFmtId="0" fontId="11" fillId="0" borderId="0" xfId="0" applyFont="1" applyAlignment="1">
      <alignment horizontal="center"/>
    </xf>
    <xf numFmtId="0" fontId="0" fillId="0" borderId="0" xfId="0" applyFont="1"/>
    <xf numFmtId="0" fontId="12" fillId="2" borderId="2" xfId="0" applyFont="1" applyFill="1" applyBorder="1" applyAlignment="1">
      <alignment horizontal="center" vertical="top"/>
    </xf>
    <xf numFmtId="0" fontId="3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7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1E2-469F-A7AA-0BF473D1F0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Data!$A$2:$A$7</c:f>
              <c:strCache>
                <c:ptCount val="6"/>
                <c:pt idx="0">
                  <c:v>Loyal Customer</c:v>
                </c:pt>
                <c:pt idx="1">
                  <c:v>Champion</c:v>
                </c:pt>
                <c:pt idx="2">
                  <c:v>Lost</c:v>
                </c:pt>
                <c:pt idx="3">
                  <c:v>At Risk</c:v>
                </c:pt>
                <c:pt idx="4">
                  <c:v>Potential Loyalist</c:v>
                </c:pt>
                <c:pt idx="5">
                  <c:v>New Customer</c:v>
                </c:pt>
              </c:strCache>
            </c:strRef>
          </c:cat>
          <c:val>
            <c:numRef>
              <c:f>Data!$F$2:$F$7</c:f>
              <c:numCache>
                <c:formatCode>General</c:formatCode>
                <c:ptCount val="6"/>
                <c:pt idx="0">
                  <c:v>12128115.560000001</c:v>
                </c:pt>
                <c:pt idx="1">
                  <c:v>2713960.75</c:v>
                </c:pt>
                <c:pt idx="2">
                  <c:v>1633975.49</c:v>
                </c:pt>
                <c:pt idx="3">
                  <c:v>545095.51</c:v>
                </c:pt>
                <c:pt idx="4">
                  <c:v>394638.61</c:v>
                </c:pt>
                <c:pt idx="5">
                  <c:v>327643.25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2-469F-A7AA-0BF473D1F0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92191135"/>
        <c:axId val="1192192095"/>
      </c:barChart>
      <c:catAx>
        <c:axId val="119219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192095"/>
        <c:crosses val="autoZero"/>
        <c:auto val="1"/>
        <c:lblAlgn val="ctr"/>
        <c:lblOffset val="100"/>
        <c:noMultiLvlLbl val="0"/>
      </c:catAx>
      <c:valAx>
        <c:axId val="1192192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19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Revenue </a:t>
            </a:r>
          </a:p>
          <a:p>
            <a:pPr>
              <a:defRPr b="1"/>
            </a:pPr>
            <a:r>
              <a:rPr lang="en-IN" sz="1400" b="1" i="0" u="none" strike="noStrike" baseline="0"/>
              <a:t>Contribution %</a:t>
            </a:r>
            <a:endParaRPr lang="en-IN" b="1"/>
          </a:p>
        </c:rich>
      </c:tx>
      <c:layout>
        <c:manualLayout>
          <c:xMode val="edge"/>
          <c:yMode val="edge"/>
          <c:x val="0.71479793149420157"/>
          <c:y val="0.251999960314966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Data!$G$1</c:f>
              <c:strCache>
                <c:ptCount val="1"/>
                <c:pt idx="0">
                  <c:v>Revenue_%</c:v>
                </c:pt>
              </c:strCache>
            </c:strRef>
          </c:tx>
          <c:dPt>
            <c:idx val="0"/>
            <c:bubble3D val="0"/>
            <c:explosion val="10"/>
            <c:spPr>
              <a:solidFill>
                <a:schemeClr val="accent4">
                  <a:shade val="4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5B-483D-85B4-C8C0A14B6B57}"/>
              </c:ext>
            </c:extLst>
          </c:dPt>
          <c:dPt>
            <c:idx val="1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5B-483D-85B4-C8C0A14B6B57}"/>
              </c:ext>
            </c:extLst>
          </c:dPt>
          <c:dPt>
            <c:idx val="2"/>
            <c:bubble3D val="0"/>
            <c:spPr>
              <a:solidFill>
                <a:schemeClr val="accent4">
                  <a:shade val="8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5B-483D-85B4-C8C0A14B6B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D5B-483D-85B4-C8C0A14B6B57}"/>
              </c:ext>
            </c:extLst>
          </c:dPt>
          <c:dPt>
            <c:idx val="4"/>
            <c:bubble3D val="0"/>
            <c:spPr>
              <a:solidFill>
                <a:schemeClr val="accent4">
                  <a:tint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D5B-483D-85B4-C8C0A14B6B57}"/>
              </c:ext>
            </c:extLst>
          </c:dPt>
          <c:dPt>
            <c:idx val="5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D5B-483D-85B4-C8C0A14B6B57}"/>
              </c:ext>
            </c:extLst>
          </c:dPt>
          <c:dPt>
            <c:idx val="6"/>
            <c:bubble3D val="0"/>
            <c:spPr>
              <a:solidFill>
                <a:schemeClr val="accent4">
                  <a:tint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D5B-483D-85B4-C8C0A14B6B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effectLst>
                      <a:outerShdw blurRad="50800" dist="50800" dir="5400000" algn="ctr" rotWithShape="0">
                        <a:schemeClr val="accent4"/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Data!$A$2:$A$8</c:f>
              <c:strCache>
                <c:ptCount val="6"/>
                <c:pt idx="0">
                  <c:v>Loyal Customer</c:v>
                </c:pt>
                <c:pt idx="1">
                  <c:v>Champion</c:v>
                </c:pt>
                <c:pt idx="2">
                  <c:v>Lost</c:v>
                </c:pt>
                <c:pt idx="3">
                  <c:v>At Risk</c:v>
                </c:pt>
                <c:pt idx="4">
                  <c:v>Potential Loyalist</c:v>
                </c:pt>
                <c:pt idx="5">
                  <c:v>New Customer</c:v>
                </c:pt>
              </c:strCache>
            </c:strRef>
          </c:cat>
          <c:val>
            <c:numRef>
              <c:f>Data!$G$2:$G$8</c:f>
              <c:numCache>
                <c:formatCode>General</c:formatCode>
                <c:ptCount val="7"/>
                <c:pt idx="0">
                  <c:v>68.349999999999994</c:v>
                </c:pt>
                <c:pt idx="1">
                  <c:v>15.3</c:v>
                </c:pt>
                <c:pt idx="2">
                  <c:v>9.2100000000000009</c:v>
                </c:pt>
                <c:pt idx="3">
                  <c:v>3.07</c:v>
                </c:pt>
                <c:pt idx="4">
                  <c:v>2.2200000000000002</c:v>
                </c:pt>
                <c:pt idx="5">
                  <c:v>1.85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D5B-483D-85B4-C8C0A14B6B5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>
                    <a:lumMod val="95000"/>
                    <a:lumOff val="5000"/>
                  </a:schemeClr>
                </a:solidFill>
              </a:rPr>
              <a:t>Customer Distribution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Customer_Count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Data!$A$2:$A$8</c:f>
              <c:strCache>
                <c:ptCount val="6"/>
                <c:pt idx="0">
                  <c:v>Loyal Customer</c:v>
                </c:pt>
                <c:pt idx="1">
                  <c:v>Champion</c:v>
                </c:pt>
                <c:pt idx="2">
                  <c:v>Lost</c:v>
                </c:pt>
                <c:pt idx="3">
                  <c:v>At Risk</c:v>
                </c:pt>
                <c:pt idx="4">
                  <c:v>Potential Loyalist</c:v>
                </c:pt>
                <c:pt idx="5">
                  <c:v>New Customer</c:v>
                </c:pt>
              </c:strCache>
            </c:strRef>
          </c:cat>
          <c:val>
            <c:numRef>
              <c:f>Data!$B$2:$B$8</c:f>
              <c:numCache>
                <c:formatCode>General</c:formatCode>
                <c:ptCount val="7"/>
                <c:pt idx="0">
                  <c:v>1403</c:v>
                </c:pt>
                <c:pt idx="1">
                  <c:v>1300</c:v>
                </c:pt>
                <c:pt idx="2">
                  <c:v>1275</c:v>
                </c:pt>
                <c:pt idx="3">
                  <c:v>824</c:v>
                </c:pt>
                <c:pt idx="4">
                  <c:v>633</c:v>
                </c:pt>
                <c:pt idx="5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0-41E0-B6A9-1BF3140177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0360431"/>
        <c:axId val="1192158495"/>
      </c:barChart>
      <c:catAx>
        <c:axId val="105036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158495"/>
        <c:crosses val="autoZero"/>
        <c:auto val="1"/>
        <c:lblAlgn val="ctr"/>
        <c:lblOffset val="100"/>
        <c:noMultiLvlLbl val="0"/>
      </c:catAx>
      <c:valAx>
        <c:axId val="1192158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36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>
                    <a:lumMod val="95000"/>
                    <a:lumOff val="5000"/>
                  </a:schemeClr>
                </a:solidFill>
              </a:rPr>
              <a:t>Recency vs Frequency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Avg_Recency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Data!$A$2:$A$8</c:f>
              <c:strCache>
                <c:ptCount val="6"/>
                <c:pt idx="0">
                  <c:v>Loyal Customer</c:v>
                </c:pt>
                <c:pt idx="1">
                  <c:v>Champion</c:v>
                </c:pt>
                <c:pt idx="2">
                  <c:v>Lost</c:v>
                </c:pt>
                <c:pt idx="3">
                  <c:v>At Risk</c:v>
                </c:pt>
                <c:pt idx="4">
                  <c:v>Potential Loyalist</c:v>
                </c:pt>
                <c:pt idx="5">
                  <c:v>New Customer</c:v>
                </c:pt>
              </c:strCache>
            </c:strRef>
          </c:cat>
          <c:val>
            <c:numRef>
              <c:f>Data!$C$2:$C$8</c:f>
              <c:numCache>
                <c:formatCode>General</c:formatCode>
                <c:ptCount val="7"/>
                <c:pt idx="0">
                  <c:v>19.97</c:v>
                </c:pt>
                <c:pt idx="1">
                  <c:v>71.39</c:v>
                </c:pt>
                <c:pt idx="2">
                  <c:v>369.1</c:v>
                </c:pt>
                <c:pt idx="3">
                  <c:v>227.94</c:v>
                </c:pt>
                <c:pt idx="4">
                  <c:v>28.11</c:v>
                </c:pt>
                <c:pt idx="5">
                  <c:v>467.79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12-473D-9C4C-0DF58A98B6C0}"/>
            </c:ext>
          </c:extLst>
        </c:ser>
        <c:ser>
          <c:idx val="1"/>
          <c:order val="1"/>
          <c:tx>
            <c:strRef>
              <c:f>Data!$D$1</c:f>
              <c:strCache>
                <c:ptCount val="1"/>
                <c:pt idx="0">
                  <c:v>Avg_Frequency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Data!$A$2:$A$8</c:f>
              <c:strCache>
                <c:ptCount val="6"/>
                <c:pt idx="0">
                  <c:v>Loyal Customer</c:v>
                </c:pt>
                <c:pt idx="1">
                  <c:v>Champion</c:v>
                </c:pt>
                <c:pt idx="2">
                  <c:v>Lost</c:v>
                </c:pt>
                <c:pt idx="3">
                  <c:v>At Risk</c:v>
                </c:pt>
                <c:pt idx="4">
                  <c:v>Potential Loyalist</c:v>
                </c:pt>
                <c:pt idx="5">
                  <c:v>New Customer</c:v>
                </c:pt>
              </c:strCache>
            </c:strRef>
          </c:cat>
          <c:val>
            <c:numRef>
              <c:f>Data!$D$2:$D$8</c:f>
              <c:numCache>
                <c:formatCode>General</c:formatCode>
                <c:ptCount val="7"/>
                <c:pt idx="0">
                  <c:v>17.09</c:v>
                </c:pt>
                <c:pt idx="1">
                  <c:v>5.42</c:v>
                </c:pt>
                <c:pt idx="2">
                  <c:v>4.9400000000000004</c:v>
                </c:pt>
                <c:pt idx="3">
                  <c:v>1.45</c:v>
                </c:pt>
                <c:pt idx="4">
                  <c:v>1.46</c:v>
                </c:pt>
                <c:pt idx="5">
                  <c:v>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12-473D-9C4C-0DF58A98B6C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92172415"/>
        <c:axId val="1192173375"/>
      </c:lineChart>
      <c:catAx>
        <c:axId val="119217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173375"/>
        <c:crosses val="autoZero"/>
        <c:auto val="1"/>
        <c:lblAlgn val="ctr"/>
        <c:lblOffset val="100"/>
        <c:noMultiLvlLbl val="0"/>
      </c:catAx>
      <c:valAx>
        <c:axId val="1192173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17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56452</xdr:colOff>
      <xdr:row>7</xdr:row>
      <xdr:rowOff>53662</xdr:rowOff>
    </xdr:from>
    <xdr:to>
      <xdr:col>6</xdr:col>
      <xdr:colOff>392545</xdr:colOff>
      <xdr:row>22</xdr:row>
      <xdr:rowOff>38851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E69657-6649-4A2E-80B6-E5CDA04931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784746</xdr:colOff>
      <xdr:row>7</xdr:row>
      <xdr:rowOff>39162</xdr:rowOff>
    </xdr:from>
    <xdr:to>
      <xdr:col>15</xdr:col>
      <xdr:colOff>593937</xdr:colOff>
      <xdr:row>22</xdr:row>
      <xdr:rowOff>39161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0818FE-7412-4EED-A600-4DB957A6BE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762000</xdr:colOff>
      <xdr:row>24</xdr:row>
      <xdr:rowOff>54943</xdr:rowOff>
    </xdr:from>
    <xdr:to>
      <xdr:col>15</xdr:col>
      <xdr:colOff>586277</xdr:colOff>
      <xdr:row>39</xdr:row>
      <xdr:rowOff>134554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B8E66C-043C-4E90-823D-F5D1AC313D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35580</xdr:colOff>
      <xdr:row>24</xdr:row>
      <xdr:rowOff>29749</xdr:rowOff>
    </xdr:from>
    <xdr:to>
      <xdr:col>6</xdr:col>
      <xdr:colOff>363940</xdr:colOff>
      <xdr:row>40</xdr:row>
      <xdr:rowOff>37894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AFC8682-6097-4457-AF66-83B1199886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1EE9DA-CE95-4F52-A8D7-B0C4196AFFC4}" name="Table1" displayName="Table1" ref="E44:K50" totalsRowShown="0" headerRowDxfId="2" headerRowBorderDxfId="0" tableBorderDxfId="1">
  <autoFilter ref="E44:K50" xr:uid="{7E1EE9DA-CE95-4F52-A8D7-B0C4196AFFC4}"/>
  <tableColumns count="7">
    <tableColumn id="1" xr3:uid="{55EDE8F5-82A1-45EB-BFE2-128E36261050}" name="Segment"/>
    <tableColumn id="2" xr3:uid="{5C1FA137-EBBE-45DF-9E8E-5F50D4B87768}" name="Customer_Count"/>
    <tableColumn id="3" xr3:uid="{1EB66AC9-F610-4D29-ABFB-734867025256}" name="Avg_Recency"/>
    <tableColumn id="4" xr3:uid="{951413FF-9A42-4062-BB60-9EF9EBE6EEEF}" name="Avg_Frequency"/>
    <tableColumn id="5" xr3:uid="{BD0C5515-4A0F-43CD-80DF-EE27009F112C}" name="Avg_Monetary"/>
    <tableColumn id="6" xr3:uid="{DBBF8545-2D9B-4383-B642-1ABF95031ACB}" name="Total_Revenue"/>
    <tableColumn id="7" xr3:uid="{895AFC55-50C9-42CC-B685-BE688C19D774}" name="Revenue_%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G7" sqref="A1:G7"/>
    </sheetView>
  </sheetViews>
  <sheetFormatPr defaultRowHeight="14.4" x14ac:dyDescent="0.3"/>
  <cols>
    <col min="1" max="1" width="13.33203125" customWidth="1"/>
    <col min="2" max="2" width="15.88671875" customWidth="1"/>
    <col min="3" max="3" width="17.33203125" customWidth="1"/>
    <col min="4" max="4" width="20.33203125" customWidth="1"/>
    <col min="5" max="5" width="15.88671875" customWidth="1"/>
    <col min="6" max="6" width="16.33203125" customWidth="1"/>
    <col min="7" max="7" width="17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10</v>
      </c>
      <c r="B2">
        <v>1403</v>
      </c>
      <c r="C2">
        <v>19.97</v>
      </c>
      <c r="D2">
        <v>17.09</v>
      </c>
      <c r="E2">
        <v>9329.32</v>
      </c>
      <c r="F2">
        <v>12128115.560000001</v>
      </c>
      <c r="G2">
        <v>68.349999999999994</v>
      </c>
    </row>
    <row r="3" spans="1:7" x14ac:dyDescent="0.3">
      <c r="A3" t="s">
        <v>8</v>
      </c>
      <c r="B3">
        <v>1300</v>
      </c>
      <c r="C3">
        <v>71.39</v>
      </c>
      <c r="D3">
        <v>5.42</v>
      </c>
      <c r="E3">
        <v>1934.4</v>
      </c>
      <c r="F3">
        <v>2713960.75</v>
      </c>
      <c r="G3">
        <v>15.3</v>
      </c>
    </row>
    <row r="4" spans="1:7" x14ac:dyDescent="0.3">
      <c r="A4" t="s">
        <v>9</v>
      </c>
      <c r="B4">
        <v>1275</v>
      </c>
      <c r="C4">
        <v>369.1</v>
      </c>
      <c r="D4">
        <v>4.9400000000000004</v>
      </c>
      <c r="E4">
        <v>1982.98</v>
      </c>
      <c r="F4">
        <v>1633975.49</v>
      </c>
      <c r="G4">
        <v>9.2100000000000009</v>
      </c>
    </row>
    <row r="5" spans="1:7" x14ac:dyDescent="0.3">
      <c r="A5" t="s">
        <v>7</v>
      </c>
      <c r="B5">
        <v>824</v>
      </c>
      <c r="C5">
        <v>227.94</v>
      </c>
      <c r="D5">
        <v>1.45</v>
      </c>
      <c r="E5">
        <v>861.13</v>
      </c>
      <c r="F5">
        <v>545095.51</v>
      </c>
      <c r="G5">
        <v>3.07</v>
      </c>
    </row>
    <row r="6" spans="1:7" x14ac:dyDescent="0.3">
      <c r="A6" t="s">
        <v>12</v>
      </c>
      <c r="B6">
        <v>633</v>
      </c>
      <c r="C6">
        <v>28.11</v>
      </c>
      <c r="D6">
        <v>1.46</v>
      </c>
      <c r="E6">
        <v>890.83</v>
      </c>
      <c r="F6">
        <v>394638.61</v>
      </c>
      <c r="G6">
        <v>2.2200000000000002</v>
      </c>
    </row>
    <row r="7" spans="1:7" x14ac:dyDescent="0.3">
      <c r="A7" t="s">
        <v>11</v>
      </c>
      <c r="B7">
        <v>443</v>
      </c>
      <c r="C7">
        <v>467.79</v>
      </c>
      <c r="D7">
        <v>1.19</v>
      </c>
      <c r="E7">
        <v>256.98</v>
      </c>
      <c r="F7">
        <v>327643.25</v>
      </c>
      <c r="G7">
        <v>1.85</v>
      </c>
    </row>
  </sheetData>
  <sortState xmlns:xlrd2="http://schemas.microsoft.com/office/spreadsheetml/2017/richdata2" ref="A2:B7">
    <sortCondition descending="1" ref="B1:B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C6C99-1DC7-4484-BC98-D86A1C3912DB}">
  <dimension ref="A1:X52"/>
  <sheetViews>
    <sheetView tabSelected="1" zoomScale="67" zoomScaleNormal="115" workbookViewId="0">
      <selection activeCell="M56" sqref="M56"/>
    </sheetView>
  </sheetViews>
  <sheetFormatPr defaultRowHeight="14.4" x14ac:dyDescent="0.3"/>
  <cols>
    <col min="1" max="1" width="10.6640625" customWidth="1"/>
    <col min="2" max="2" width="17.5546875" customWidth="1"/>
    <col min="3" max="3" width="13.88671875" customWidth="1"/>
    <col min="4" max="4" width="16" customWidth="1"/>
    <col min="5" max="5" width="15.44140625" customWidth="1"/>
    <col min="6" max="6" width="15.6640625" customWidth="1"/>
    <col min="7" max="7" width="12.77734375" customWidth="1"/>
    <col min="8" max="9" width="9" customWidth="1"/>
    <col min="10" max="10" width="11.5546875" bestFit="1" customWidth="1"/>
    <col min="11" max="11" width="9" bestFit="1" customWidth="1"/>
  </cols>
  <sheetData>
    <row r="1" spans="1:22" ht="14.4" customHeight="1" x14ac:dyDescent="0.3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0.8" customHeight="1" x14ac:dyDescent="0.5500000000000000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4.4" customHeight="1" x14ac:dyDescent="0.4">
      <c r="A5" s="5" t="s">
        <v>14</v>
      </c>
      <c r="B5" s="5"/>
      <c r="C5" s="5"/>
      <c r="D5" s="5"/>
      <c r="E5" s="5" t="s">
        <v>15</v>
      </c>
      <c r="F5" s="5"/>
      <c r="G5" s="5"/>
      <c r="H5" s="5"/>
      <c r="I5" s="5" t="s">
        <v>16</v>
      </c>
      <c r="J5" s="10"/>
      <c r="K5" s="10"/>
      <c r="L5" s="10"/>
      <c r="M5" s="5" t="s">
        <v>17</v>
      </c>
      <c r="N5" s="5"/>
      <c r="O5" s="5"/>
      <c r="P5" s="5"/>
      <c r="Q5" s="9"/>
      <c r="R5" s="8"/>
      <c r="S5" s="9"/>
      <c r="T5" s="9"/>
      <c r="U5" s="9"/>
      <c r="V5" s="9"/>
    </row>
    <row r="6" spans="1:22" ht="14.4" customHeight="1" x14ac:dyDescent="0.4">
      <c r="A6" s="5"/>
      <c r="B6" s="5"/>
      <c r="C6" s="5"/>
      <c r="D6" s="5"/>
      <c r="E6" s="5"/>
      <c r="F6" s="5"/>
      <c r="G6" s="5"/>
      <c r="H6" s="5"/>
      <c r="I6" s="10"/>
      <c r="J6" s="10"/>
      <c r="K6" s="10"/>
      <c r="L6" s="10"/>
      <c r="M6" s="5"/>
      <c r="N6" s="5"/>
      <c r="O6" s="5"/>
      <c r="P6" s="5"/>
      <c r="Q6" s="9"/>
      <c r="R6" s="9"/>
      <c r="S6" s="9"/>
      <c r="T6" s="9"/>
      <c r="U6" s="9"/>
      <c r="V6" s="9"/>
    </row>
    <row r="7" spans="1:22" ht="14.4" customHeight="1" x14ac:dyDescent="0.4">
      <c r="A7" s="5"/>
      <c r="B7" s="5"/>
      <c r="C7" s="5"/>
      <c r="D7" s="5"/>
      <c r="E7" s="5"/>
      <c r="F7" s="5"/>
      <c r="G7" s="5"/>
      <c r="H7" s="5"/>
      <c r="I7" s="10"/>
      <c r="J7" s="10"/>
      <c r="K7" s="10"/>
      <c r="L7" s="10"/>
      <c r="M7" s="5"/>
      <c r="N7" s="5"/>
      <c r="O7" s="5"/>
      <c r="P7" s="5"/>
      <c r="Q7" s="9"/>
      <c r="R7" s="9"/>
      <c r="S7" s="9"/>
      <c r="T7" s="9"/>
      <c r="U7" s="9"/>
      <c r="V7" s="9"/>
    </row>
    <row r="23" spans="1:24" x14ac:dyDescent="0.3">
      <c r="A23" s="7" t="s">
        <v>18</v>
      </c>
      <c r="B23" s="6"/>
      <c r="C23" s="6"/>
      <c r="D23" s="6"/>
      <c r="E23" s="6"/>
      <c r="F23" s="6"/>
      <c r="G23" s="6"/>
      <c r="H23" s="6"/>
      <c r="I23" s="7" t="s">
        <v>21</v>
      </c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6"/>
    </row>
    <row r="24" spans="1:24" x14ac:dyDescent="0.3">
      <c r="A24" s="6"/>
      <c r="B24" s="6"/>
      <c r="C24" s="6"/>
      <c r="D24" s="6"/>
      <c r="E24" s="6"/>
      <c r="F24" s="6"/>
      <c r="G24" s="6"/>
      <c r="H24" s="6"/>
      <c r="I24" s="7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6"/>
    </row>
    <row r="41" spans="1:17" x14ac:dyDescent="0.3">
      <c r="A41" s="7" t="s">
        <v>19</v>
      </c>
      <c r="B41" s="6"/>
      <c r="C41" s="6"/>
      <c r="D41" s="6"/>
      <c r="E41" s="6"/>
      <c r="F41" s="6"/>
      <c r="G41" s="6"/>
      <c r="H41" s="6"/>
      <c r="I41" s="7" t="s">
        <v>20</v>
      </c>
      <c r="J41" s="2"/>
      <c r="K41" s="2"/>
      <c r="L41" s="2"/>
      <c r="M41" s="2"/>
      <c r="N41" s="2"/>
      <c r="O41" s="2"/>
      <c r="P41" s="2"/>
    </row>
    <row r="42" spans="1:17" x14ac:dyDescent="0.3">
      <c r="A42" s="6"/>
      <c r="B42" s="6"/>
      <c r="C42" s="6"/>
      <c r="D42" s="6"/>
      <c r="E42" s="6"/>
      <c r="F42" s="6"/>
      <c r="G42" s="6"/>
      <c r="H42" s="6"/>
      <c r="I42" s="2"/>
      <c r="J42" s="2"/>
      <c r="K42" s="2"/>
      <c r="L42" s="2"/>
      <c r="M42" s="2"/>
      <c r="N42" s="2"/>
      <c r="O42" s="2"/>
      <c r="P42" s="2"/>
    </row>
    <row r="44" spans="1:17" s="11" customFormat="1" ht="14.4" customHeight="1" x14ac:dyDescent="0.3">
      <c r="A44" s="14" t="s">
        <v>23</v>
      </c>
      <c r="B44" s="14"/>
      <c r="C44" s="14"/>
      <c r="E44" s="12" t="s">
        <v>0</v>
      </c>
      <c r="F44" s="12" t="s">
        <v>1</v>
      </c>
      <c r="G44" s="12" t="s">
        <v>2</v>
      </c>
      <c r="H44" s="12" t="s">
        <v>3</v>
      </c>
      <c r="I44" s="12" t="s">
        <v>4</v>
      </c>
      <c r="J44" s="12" t="s">
        <v>5</v>
      </c>
      <c r="K44" s="12" t="s">
        <v>6</v>
      </c>
      <c r="L44" s="16" t="s">
        <v>25</v>
      </c>
      <c r="M44" s="16"/>
      <c r="N44" s="16"/>
      <c r="O44" s="16"/>
      <c r="P44" s="16"/>
      <c r="Q44" s="16"/>
    </row>
    <row r="45" spans="1:17" ht="14.4" customHeight="1" x14ac:dyDescent="0.3">
      <c r="A45" s="14"/>
      <c r="B45" s="14"/>
      <c r="C45" s="14"/>
      <c r="E45" t="s">
        <v>10</v>
      </c>
      <c r="F45">
        <v>1403</v>
      </c>
      <c r="G45">
        <v>19.97</v>
      </c>
      <c r="H45">
        <v>17.09</v>
      </c>
      <c r="I45">
        <v>9329.32</v>
      </c>
      <c r="J45">
        <v>12128115.560000001</v>
      </c>
      <c r="K45">
        <v>68.349999999999994</v>
      </c>
      <c r="L45" s="16"/>
      <c r="M45" s="16"/>
      <c r="N45" s="16"/>
      <c r="O45" s="16"/>
      <c r="P45" s="16"/>
      <c r="Q45" s="16"/>
    </row>
    <row r="46" spans="1:17" ht="14.4" customHeight="1" x14ac:dyDescent="0.3">
      <c r="A46" s="14" t="s">
        <v>22</v>
      </c>
      <c r="B46" s="14"/>
      <c r="C46" s="14"/>
      <c r="E46" s="13" t="s">
        <v>8</v>
      </c>
      <c r="F46" s="13">
        <v>1300</v>
      </c>
      <c r="G46" s="13">
        <v>71.39</v>
      </c>
      <c r="H46" s="13">
        <v>5.42</v>
      </c>
      <c r="I46" s="13">
        <v>1934.4</v>
      </c>
      <c r="J46" s="13">
        <v>2713960.75</v>
      </c>
      <c r="K46" s="13">
        <v>15.3</v>
      </c>
      <c r="L46" s="16"/>
      <c r="M46" s="16"/>
      <c r="N46" s="16"/>
      <c r="O46" s="16"/>
      <c r="P46" s="16"/>
      <c r="Q46" s="16"/>
    </row>
    <row r="47" spans="1:17" ht="14.4" customHeight="1" x14ac:dyDescent="0.3">
      <c r="A47" s="14"/>
      <c r="B47" s="14"/>
      <c r="C47" s="14"/>
      <c r="E47" t="s">
        <v>9</v>
      </c>
      <c r="F47">
        <v>1275</v>
      </c>
      <c r="G47">
        <v>369.1</v>
      </c>
      <c r="H47">
        <v>4.9400000000000004</v>
      </c>
      <c r="I47">
        <v>1982.98</v>
      </c>
      <c r="J47">
        <v>1633975.49</v>
      </c>
      <c r="K47">
        <v>9.2100000000000009</v>
      </c>
      <c r="L47" s="16" t="s">
        <v>26</v>
      </c>
      <c r="M47" s="2"/>
      <c r="N47" s="2"/>
      <c r="O47" s="2"/>
      <c r="P47" s="2"/>
      <c r="Q47" s="2"/>
    </row>
    <row r="48" spans="1:17" ht="14.4" customHeight="1" x14ac:dyDescent="0.3">
      <c r="A48" s="15"/>
      <c r="B48" s="15"/>
      <c r="C48" s="15"/>
      <c r="E48" t="s">
        <v>7</v>
      </c>
      <c r="F48">
        <v>824</v>
      </c>
      <c r="G48">
        <v>227.94</v>
      </c>
      <c r="H48">
        <v>1.45</v>
      </c>
      <c r="I48">
        <v>861.13</v>
      </c>
      <c r="J48">
        <v>545095.51</v>
      </c>
      <c r="K48">
        <v>3.07</v>
      </c>
      <c r="L48" s="2"/>
      <c r="M48" s="2"/>
      <c r="N48" s="2"/>
      <c r="O48" s="2"/>
      <c r="P48" s="2"/>
      <c r="Q48" s="2"/>
    </row>
    <row r="49" spans="1:17" ht="14.4" customHeight="1" x14ac:dyDescent="0.3">
      <c r="A49" s="14" t="s">
        <v>24</v>
      </c>
      <c r="B49" s="14"/>
      <c r="C49" s="14"/>
      <c r="D49" s="14"/>
      <c r="E49" t="s">
        <v>12</v>
      </c>
      <c r="F49">
        <v>633</v>
      </c>
      <c r="G49">
        <v>28.11</v>
      </c>
      <c r="H49">
        <v>1.46</v>
      </c>
      <c r="I49">
        <v>890.83</v>
      </c>
      <c r="J49">
        <v>394638.61</v>
      </c>
      <c r="K49">
        <v>2.2200000000000002</v>
      </c>
      <c r="L49" s="2"/>
      <c r="M49" s="2"/>
      <c r="N49" s="2"/>
      <c r="O49" s="2"/>
      <c r="P49" s="2"/>
      <c r="Q49" s="2"/>
    </row>
    <row r="50" spans="1:17" ht="14.4" customHeight="1" x14ac:dyDescent="0.3">
      <c r="A50" s="14"/>
      <c r="B50" s="14"/>
      <c r="C50" s="14"/>
      <c r="D50" s="14"/>
      <c r="E50" t="s">
        <v>11</v>
      </c>
      <c r="F50">
        <v>443</v>
      </c>
      <c r="G50">
        <v>467.79</v>
      </c>
      <c r="H50">
        <v>1.19</v>
      </c>
      <c r="I50">
        <v>256.98</v>
      </c>
      <c r="J50">
        <v>327643.25</v>
      </c>
      <c r="K50">
        <v>1.85</v>
      </c>
    </row>
    <row r="51" spans="1:17" x14ac:dyDescent="0.3">
      <c r="E51" s="17" t="s">
        <v>27</v>
      </c>
      <c r="F51" s="2"/>
      <c r="G51" s="2"/>
      <c r="H51" s="2"/>
      <c r="I51" s="2"/>
      <c r="J51" s="2"/>
      <c r="K51" s="2"/>
    </row>
    <row r="52" spans="1:17" x14ac:dyDescent="0.3">
      <c r="E52" s="2"/>
      <c r="F52" s="2"/>
      <c r="G52" s="2"/>
      <c r="H52" s="2"/>
      <c r="I52" s="2"/>
      <c r="J52" s="2"/>
      <c r="K52" s="2"/>
    </row>
  </sheetData>
  <mergeCells count="16">
    <mergeCell ref="L44:Q46"/>
    <mergeCell ref="L47:Q49"/>
    <mergeCell ref="E51:K52"/>
    <mergeCell ref="A44:C45"/>
    <mergeCell ref="A46:C47"/>
    <mergeCell ref="A49:D50"/>
    <mergeCell ref="A41:H42"/>
    <mergeCell ref="I41:P42"/>
    <mergeCell ref="A5:D7"/>
    <mergeCell ref="E5:H7"/>
    <mergeCell ref="I5:L7"/>
    <mergeCell ref="M5:P7"/>
    <mergeCell ref="I23:P24"/>
    <mergeCell ref="Q23:X24"/>
    <mergeCell ref="A23:H24"/>
    <mergeCell ref="A1:V3"/>
  </mergeCells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palak agarwal</cp:lastModifiedBy>
  <dcterms:created xsi:type="dcterms:W3CDTF">2026-04-14T07:13:45Z</dcterms:created>
  <dcterms:modified xsi:type="dcterms:W3CDTF">2026-04-15T16:53:42Z</dcterms:modified>
</cp:coreProperties>
</file>